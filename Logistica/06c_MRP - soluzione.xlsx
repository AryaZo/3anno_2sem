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1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ezioni\Logistica industriale\"/>
    </mc:Choice>
  </mc:AlternateContent>
  <xr:revisionPtr revIDLastSave="7" documentId="11_6A9E489DECF2A1DB357BD083833F7575C61FFA96" xr6:coauthVersionLast="47" xr6:coauthVersionMax="47" xr10:uidLastSave="{88EBF7D5-E8EC-44A4-9A92-5993812568F2}"/>
  <bookViews>
    <workbookView xWindow="0" yWindow="45" windowWidth="15315" windowHeight="7590" tabRatio="880" firstSheet="1" activeTab="9" xr2:uid="{00000000-000D-0000-FFFF-FFFF00000000}"/>
  </bookViews>
  <sheets>
    <sheet name="GRUPPO FRENO" sheetId="1" r:id="rId1"/>
    <sheet name="COD 1" sheetId="2" r:id="rId2"/>
    <sheet name="COD 14" sheetId="3" r:id="rId3"/>
    <sheet name="COD 13" sheetId="10" r:id="rId4"/>
    <sheet name="GRUPPO FRENO urgenza" sheetId="4" r:id="rId5"/>
    <sheet name="COD 1 urgenza" sheetId="5" r:id="rId6"/>
    <sheet name="COD 14 con urgenza" sheetId="6" r:id="rId7"/>
    <sheet name="COD 13 con urgenza" sheetId="11" r:id="rId8"/>
    <sheet name="GRUPPO FRENO con ritardo" sheetId="8" r:id="rId9"/>
    <sheet name="COD 1 con ritardo" sheetId="7" r:id="rId10"/>
    <sheet name="COD 14 con ritardo" sheetId="9" r:id="rId11"/>
    <sheet name="COD 13 con ritardo" sheetId="12" r:id="rId12"/>
  </sheets>
  <definedNames>
    <definedName name="_xlnm.Print_Area" localSheetId="1">'COD 1'!$A$1:$K$9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C4" i="10"/>
  <c r="E7" i="3"/>
  <c r="G9" i="8"/>
  <c r="H10" i="8" s="1"/>
  <c r="J4" i="12"/>
  <c r="J7" i="12" s="1"/>
  <c r="I4" i="12"/>
  <c r="I7" i="12" s="1"/>
  <c r="G4" i="12"/>
  <c r="G7" i="12" s="1"/>
  <c r="F4" i="12"/>
  <c r="E4" i="12"/>
  <c r="F6" i="12" s="1"/>
  <c r="F7" i="12" s="1"/>
  <c r="C4" i="12"/>
  <c r="H8" i="7"/>
  <c r="J4" i="7"/>
  <c r="J7" i="7" s="1"/>
  <c r="I4" i="7"/>
  <c r="I7" i="7" s="1"/>
  <c r="G4" i="7"/>
  <c r="G7" i="7" s="1"/>
  <c r="F4" i="7"/>
  <c r="F7" i="7" s="1"/>
  <c r="E4" i="7"/>
  <c r="E7" i="7" s="1"/>
  <c r="C4" i="7"/>
  <c r="C7" i="7" s="1"/>
  <c r="J4" i="11"/>
  <c r="J7" i="11" s="1"/>
  <c r="I4" i="11"/>
  <c r="I7" i="11" s="1"/>
  <c r="G4" i="11"/>
  <c r="G7" i="11" s="1"/>
  <c r="F4" i="11"/>
  <c r="E4" i="11"/>
  <c r="F6" i="11" s="1"/>
  <c r="F7" i="11" s="1"/>
  <c r="C4" i="11"/>
  <c r="J4" i="10"/>
  <c r="J7" i="10" s="1"/>
  <c r="I4" i="10"/>
  <c r="I7" i="10" s="1"/>
  <c r="G4" i="10"/>
  <c r="G7" i="10" s="1"/>
  <c r="F4" i="10"/>
  <c r="E4" i="10"/>
  <c r="F6" i="10" s="1"/>
  <c r="J7" i="4"/>
  <c r="J4" i="9"/>
  <c r="J7" i="9" s="1"/>
  <c r="I4" i="9"/>
  <c r="I7" i="9" s="1"/>
  <c r="G4" i="9"/>
  <c r="G7" i="9" s="1"/>
  <c r="F4" i="9"/>
  <c r="F7" i="9" s="1"/>
  <c r="E4" i="9"/>
  <c r="E7" i="9" s="1"/>
  <c r="C4" i="9"/>
  <c r="J8" i="8"/>
  <c r="J7" i="8"/>
  <c r="I7" i="8"/>
  <c r="G7" i="8"/>
  <c r="F7" i="8"/>
  <c r="E7" i="8"/>
  <c r="E8" i="8" s="1"/>
  <c r="C7" i="8"/>
  <c r="J4" i="6"/>
  <c r="J7" i="6" s="1"/>
  <c r="I4" i="6"/>
  <c r="I7" i="6" s="1"/>
  <c r="G4" i="6"/>
  <c r="G7" i="6" s="1"/>
  <c r="F4" i="6"/>
  <c r="F7" i="6" s="1"/>
  <c r="E4" i="6"/>
  <c r="E7" i="6" s="1"/>
  <c r="C4" i="6"/>
  <c r="J4" i="5"/>
  <c r="J7" i="5" s="1"/>
  <c r="I4" i="5"/>
  <c r="I7" i="5" s="1"/>
  <c r="G4" i="5"/>
  <c r="G7" i="5" s="1"/>
  <c r="F4" i="5"/>
  <c r="F7" i="5" s="1"/>
  <c r="E4" i="5"/>
  <c r="E7" i="5" s="1"/>
  <c r="C4" i="5"/>
  <c r="C7" i="5" s="1"/>
  <c r="J8" i="4"/>
  <c r="I7" i="4"/>
  <c r="I8" i="4" s="1"/>
  <c r="G7" i="4"/>
  <c r="G8" i="4" s="1"/>
  <c r="F7" i="4"/>
  <c r="F8" i="4" s="1"/>
  <c r="E7" i="4"/>
  <c r="E8" i="4" s="1"/>
  <c r="C7" i="4"/>
  <c r="E4" i="3"/>
  <c r="F4" i="3"/>
  <c r="F7" i="3" s="1"/>
  <c r="G4" i="3"/>
  <c r="G7" i="3" s="1"/>
  <c r="I4" i="3"/>
  <c r="I7" i="3" s="1"/>
  <c r="J4" i="3"/>
  <c r="J7" i="3" s="1"/>
  <c r="E4" i="2"/>
  <c r="E7" i="2" s="1"/>
  <c r="F4" i="2"/>
  <c r="F7" i="2" s="1"/>
  <c r="G4" i="2"/>
  <c r="G7" i="2" s="1"/>
  <c r="I4" i="2"/>
  <c r="I7" i="2" s="1"/>
  <c r="J4" i="2"/>
  <c r="J7" i="2" s="1"/>
  <c r="C4" i="2"/>
  <c r="C7" i="2" s="1"/>
  <c r="C7" i="1"/>
  <c r="E7" i="1"/>
  <c r="E8" i="1" s="1"/>
  <c r="F7" i="1"/>
  <c r="F8" i="1" s="1"/>
  <c r="G7" i="1"/>
  <c r="G8" i="1" s="1"/>
  <c r="I7" i="1"/>
  <c r="I8" i="1" s="1"/>
  <c r="J7" i="1"/>
  <c r="J8" i="1" s="1"/>
  <c r="F7" i="10" l="1"/>
</calcChain>
</file>

<file path=xl/sharedStrings.xml><?xml version="1.0" encoding="utf-8"?>
<sst xmlns="http://schemas.openxmlformats.org/spreadsheetml/2006/main" count="227" uniqueCount="40">
  <si>
    <t>GRUPPO FRENO</t>
  </si>
  <si>
    <t>4 sett. AGOSTO</t>
  </si>
  <si>
    <t>1 sett. SETT.</t>
  </si>
  <si>
    <t>2 sett. SETT.</t>
  </si>
  <si>
    <t>3 sett. SETT.</t>
  </si>
  <si>
    <t>4 sett. SETT.</t>
  </si>
  <si>
    <t>1 sett. OTT.</t>
  </si>
  <si>
    <t>2 sett. OTT.</t>
  </si>
  <si>
    <t>3 sett. OTT.</t>
  </si>
  <si>
    <t>4 sett. OTT.</t>
  </si>
  <si>
    <t>Richiesta  lorda (quantitativo in MPS)</t>
  </si>
  <si>
    <t>Ricezioni programmate</t>
  </si>
  <si>
    <t>Disponibilità materiale a magazzino</t>
  </si>
  <si>
    <t>Richiesta netta</t>
  </si>
  <si>
    <t>Ricezione pianificata ordini</t>
  </si>
  <si>
    <t>Emissione pianificata ordini</t>
  </si>
  <si>
    <t>COD. 1</t>
  </si>
  <si>
    <t>3 sett. AGOSTO</t>
  </si>
  <si>
    <t>Richiesta  lorda (MPS, quantitativo componente in distinta base, coeff. scarto)</t>
  </si>
  <si>
    <t>COD. 14</t>
  </si>
  <si>
    <t>COD. 13</t>
  </si>
  <si>
    <t>1 sett. NOV.</t>
  </si>
  <si>
    <t>2 sett. NOV.</t>
  </si>
  <si>
    <t>x</t>
  </si>
  <si>
    <t>2x+scarto</t>
  </si>
  <si>
    <t>u</t>
  </si>
  <si>
    <t>x+scarto</t>
  </si>
  <si>
    <t>x-4+scarto</t>
  </si>
  <si>
    <t>arrotondamento cons. lotto economico</t>
  </si>
  <si>
    <t>1 sett.NOV</t>
  </si>
  <si>
    <t>x-8+scarto</t>
  </si>
  <si>
    <t>GRUPPO FRENO con ritardo</t>
  </si>
  <si>
    <t>NO</t>
  </si>
  <si>
    <t>BACKORDER</t>
  </si>
  <si>
    <t>COD. 1 con ritardo</t>
  </si>
  <si>
    <t>RITARDO</t>
  </si>
  <si>
    <t>8(+250)</t>
  </si>
  <si>
    <t>3 (+347)</t>
  </si>
  <si>
    <t>6 (214)</t>
  </si>
  <si>
    <t>COD. 13 con ritardi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</si>
</sst>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zoomScaleNormal="100" workbookViewId="0">
      <selection activeCell="J7" sqref="J7"/>
    </sheetView>
  </sheetViews>
  <sheetFormatPr defaultRowHeight="15"/>
  <cols>
    <col min="1" max="1" width="14.85546875" style="1" customWidth="1"/>
    <col min="2" max="2" width="14.85546875" style="2" customWidth="1"/>
    <col min="3" max="3" width="11.7109375" style="2" customWidth="1"/>
    <col min="4" max="4" width="11.42578125" style="2" customWidth="1"/>
    <col min="5" max="5" width="12" style="2" customWidth="1"/>
    <col min="6" max="6" width="11.85546875" style="2" customWidth="1"/>
    <col min="7" max="7" width="10.140625" style="2" customWidth="1"/>
    <col min="8" max="8" width="11" style="2" customWidth="1"/>
    <col min="9" max="9" width="11.7109375" style="2" customWidth="1"/>
    <col min="10" max="10" width="12.5703125" style="2" customWidth="1"/>
    <col min="11" max="16384" width="9.140625" style="2"/>
  </cols>
  <sheetData>
    <row r="1" spans="1:10" ht="30">
      <c r="A1" s="1" t="s">
        <v>0</v>
      </c>
    </row>
    <row r="3" spans="1:10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1:10" ht="45">
      <c r="A4" s="1" t="s">
        <v>10</v>
      </c>
      <c r="C4" s="2">
        <v>129</v>
      </c>
      <c r="E4" s="2">
        <v>270</v>
      </c>
      <c r="F4" s="2">
        <v>250</v>
      </c>
      <c r="G4" s="2">
        <v>351</v>
      </c>
      <c r="I4" s="2">
        <v>215</v>
      </c>
      <c r="J4" s="2">
        <v>330</v>
      </c>
    </row>
    <row r="5" spans="1:10" ht="30">
      <c r="A5" s="1" t="s">
        <v>11</v>
      </c>
    </row>
    <row r="6" spans="1:10" ht="45">
      <c r="A6" s="1" t="s">
        <v>12</v>
      </c>
    </row>
    <row r="7" spans="1:10">
      <c r="A7" s="1" t="s">
        <v>13</v>
      </c>
      <c r="C7" s="2">
        <f t="shared" ref="C7:J7" si="0">C4-C5-C6</f>
        <v>129</v>
      </c>
      <c r="E7" s="2">
        <f t="shared" si="0"/>
        <v>270</v>
      </c>
      <c r="F7" s="2">
        <f t="shared" si="0"/>
        <v>250</v>
      </c>
      <c r="G7" s="2">
        <f t="shared" si="0"/>
        <v>351</v>
      </c>
      <c r="I7" s="2">
        <f t="shared" si="0"/>
        <v>215</v>
      </c>
      <c r="J7" s="2">
        <f t="shared" si="0"/>
        <v>330</v>
      </c>
    </row>
    <row r="8" spans="1:10" ht="45">
      <c r="A8" s="1" t="s">
        <v>14</v>
      </c>
      <c r="C8" s="2">
        <v>129</v>
      </c>
      <c r="E8" s="2">
        <f>E7</f>
        <v>270</v>
      </c>
      <c r="F8" s="2">
        <f>F7</f>
        <v>250</v>
      </c>
      <c r="G8" s="2">
        <f>G7</f>
        <v>351</v>
      </c>
      <c r="I8" s="2">
        <f>I7</f>
        <v>215</v>
      </c>
      <c r="J8" s="2">
        <f>J7</f>
        <v>330</v>
      </c>
    </row>
    <row r="9" spans="1:10" ht="45">
      <c r="A9" s="1" t="s">
        <v>15</v>
      </c>
      <c r="B9" s="2">
        <v>129</v>
      </c>
      <c r="D9" s="2">
        <v>270</v>
      </c>
      <c r="E9" s="2">
        <v>250</v>
      </c>
      <c r="F9" s="2">
        <v>351</v>
      </c>
      <c r="H9" s="2">
        <v>215</v>
      </c>
      <c r="I9" s="2">
        <v>330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zoomScaleNormal="100" workbookViewId="0">
      <selection activeCell="G8" sqref="G8"/>
    </sheetView>
  </sheetViews>
  <sheetFormatPr defaultRowHeight="15"/>
  <cols>
    <col min="1" max="1" width="14.85546875" style="1" customWidth="1"/>
    <col min="2" max="2" width="14.85546875" style="2" customWidth="1"/>
    <col min="3" max="3" width="13.85546875" style="2" customWidth="1"/>
    <col min="4" max="5" width="12" style="2" customWidth="1"/>
    <col min="6" max="6" width="11.85546875" style="2" customWidth="1"/>
    <col min="7" max="7" width="11.140625" style="2" customWidth="1"/>
    <col min="8" max="8" width="11" style="2" customWidth="1"/>
    <col min="9" max="9" width="11.7109375" style="2" customWidth="1"/>
    <col min="10" max="10" width="11.140625" style="2" customWidth="1"/>
    <col min="11" max="11" width="11" style="2" customWidth="1"/>
    <col min="12" max="16384" width="9.140625" style="2"/>
  </cols>
  <sheetData>
    <row r="1" spans="1:11">
      <c r="A1" s="1" t="s">
        <v>16</v>
      </c>
    </row>
    <row r="3" spans="1:11">
      <c r="B3" s="2" t="s">
        <v>17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pans="1:11" ht="90">
      <c r="A4" s="1" t="s">
        <v>18</v>
      </c>
      <c r="C4" s="2">
        <f>CEILING('GRUPPO FRENO'!B9*2*1.014,1)</f>
        <v>262</v>
      </c>
      <c r="E4" s="2">
        <f>CEILING('GRUPPO FRENO'!D9*2*1.014,1)</f>
        <v>548</v>
      </c>
      <c r="F4" s="2">
        <f>CEILING('GRUPPO FRENO'!E9*2*1.014,1)</f>
        <v>507</v>
      </c>
      <c r="G4" s="2">
        <f>CEILING('GRUPPO FRENO'!F9*2*1.014,1)</f>
        <v>712</v>
      </c>
      <c r="I4" s="2">
        <f>CEILING('GRUPPO FRENO'!H9*2*1.014,1)</f>
        <v>437</v>
      </c>
      <c r="J4" s="2">
        <f>CEILING('GRUPPO FRENO'!I9*2*1.014,1)</f>
        <v>670</v>
      </c>
    </row>
    <row r="5" spans="1:11" ht="30">
      <c r="A5" s="1" t="s">
        <v>11</v>
      </c>
      <c r="E5" s="2">
        <v>50</v>
      </c>
    </row>
    <row r="6" spans="1:11" ht="45">
      <c r="A6" s="1" t="s">
        <v>12</v>
      </c>
      <c r="D6" s="2">
        <v>20</v>
      </c>
      <c r="E6" s="2">
        <v>20</v>
      </c>
    </row>
    <row r="7" spans="1:11">
      <c r="A7" s="1" t="s">
        <v>13</v>
      </c>
      <c r="C7" s="2">
        <f>C4-C5-C6</f>
        <v>262</v>
      </c>
      <c r="E7" s="2">
        <f>E4-E5-E6</f>
        <v>478</v>
      </c>
      <c r="F7" s="2">
        <f>F4-F5-F6</f>
        <v>507</v>
      </c>
      <c r="G7" s="2">
        <f t="shared" ref="G7:J7" si="0">G4-G5-G6</f>
        <v>712</v>
      </c>
      <c r="I7" s="2">
        <f t="shared" si="0"/>
        <v>437</v>
      </c>
      <c r="J7" s="2">
        <f t="shared" si="0"/>
        <v>670</v>
      </c>
    </row>
    <row r="8" spans="1:11" ht="45">
      <c r="A8" s="1" t="s">
        <v>14</v>
      </c>
      <c r="C8" s="2">
        <v>262</v>
      </c>
      <c r="E8" s="2">
        <v>478</v>
      </c>
      <c r="F8" s="2">
        <v>507</v>
      </c>
      <c r="G8" s="2">
        <v>712</v>
      </c>
      <c r="I8" s="2">
        <v>437</v>
      </c>
      <c r="J8" s="2">
        <v>670</v>
      </c>
    </row>
    <row r="9" spans="1:11" ht="45">
      <c r="A9" s="1" t="s">
        <v>15</v>
      </c>
      <c r="B9" s="2">
        <v>262</v>
      </c>
      <c r="D9" s="2">
        <v>478</v>
      </c>
      <c r="E9" s="2">
        <v>507</v>
      </c>
      <c r="F9" s="2">
        <v>712</v>
      </c>
      <c r="H9" s="2">
        <v>437</v>
      </c>
      <c r="I9" s="2">
        <v>670</v>
      </c>
    </row>
  </sheetData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zoomScaleNormal="100" workbookViewId="0">
      <selection activeCell="D6" sqref="D6"/>
    </sheetView>
  </sheetViews>
  <sheetFormatPr defaultRowHeight="15"/>
  <cols>
    <col min="1" max="1" width="14.85546875" style="1" customWidth="1"/>
    <col min="2" max="2" width="14.85546875" style="2" customWidth="1"/>
    <col min="3" max="3" width="13.85546875" style="2" customWidth="1"/>
    <col min="4" max="5" width="12" style="2" customWidth="1"/>
    <col min="6" max="6" width="11.85546875" style="2" customWidth="1"/>
    <col min="7" max="7" width="11.140625" style="2" customWidth="1"/>
    <col min="8" max="8" width="11" style="2" customWidth="1"/>
    <col min="9" max="9" width="11.7109375" style="2" customWidth="1"/>
    <col min="10" max="10" width="11.140625" style="2" customWidth="1"/>
    <col min="11" max="11" width="11" style="2" customWidth="1"/>
    <col min="12" max="16384" width="9.140625" style="2"/>
  </cols>
  <sheetData>
    <row r="1" spans="1:11">
      <c r="A1" s="1" t="s">
        <v>19</v>
      </c>
    </row>
    <row r="3" spans="1:11">
      <c r="B3" s="2" t="s">
        <v>17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pans="1:11" ht="90">
      <c r="A4" s="1" t="s">
        <v>18</v>
      </c>
      <c r="C4" s="2">
        <f>CEILING('GRUPPO FRENO'!B9*1*1.005,1)</f>
        <v>130</v>
      </c>
      <c r="E4" s="2">
        <f>CEILING('GRUPPO FRENO'!D9*1*1.005,1)</f>
        <v>272</v>
      </c>
      <c r="F4" s="2">
        <f>CEILING('GRUPPO FRENO'!E9*1*1.005,1)</f>
        <v>252</v>
      </c>
      <c r="G4" s="2">
        <f>CEILING('GRUPPO FRENO'!F9*1*1.005,1)</f>
        <v>353</v>
      </c>
      <c r="I4" s="2">
        <f>CEILING('GRUPPO FRENO'!H9*1*1.005,1)</f>
        <v>217</v>
      </c>
      <c r="J4" s="2">
        <f>CEILING('GRUPPO FRENO'!I9*1*1.005,1)</f>
        <v>332</v>
      </c>
    </row>
    <row r="5" spans="1:11" ht="30">
      <c r="A5" s="1" t="s">
        <v>11</v>
      </c>
    </row>
    <row r="6" spans="1:11" ht="45">
      <c r="A6" s="1" t="s">
        <v>12</v>
      </c>
      <c r="D6" s="2">
        <v>110</v>
      </c>
      <c r="E6" s="2">
        <v>110</v>
      </c>
      <c r="F6" s="2">
        <v>8</v>
      </c>
      <c r="G6" s="2">
        <v>6</v>
      </c>
      <c r="H6" s="2">
        <v>3</v>
      </c>
      <c r="I6" s="2">
        <v>3</v>
      </c>
      <c r="J6" s="2">
        <v>6</v>
      </c>
      <c r="K6" s="2">
        <v>4</v>
      </c>
    </row>
    <row r="7" spans="1:11">
      <c r="A7" s="1" t="s">
        <v>13</v>
      </c>
      <c r="C7" s="2">
        <v>130</v>
      </c>
      <c r="E7" s="2">
        <f>E4-E6</f>
        <v>162</v>
      </c>
      <c r="F7" s="2">
        <f>F4-F6</f>
        <v>244</v>
      </c>
      <c r="G7" s="2">
        <f>G4-G6</f>
        <v>347</v>
      </c>
      <c r="I7" s="2">
        <f>I4-I6</f>
        <v>214</v>
      </c>
      <c r="J7" s="2">
        <f>J4-J6</f>
        <v>326</v>
      </c>
    </row>
    <row r="8" spans="1:11" ht="45">
      <c r="A8" s="1" t="s">
        <v>14</v>
      </c>
      <c r="C8" s="2">
        <v>130</v>
      </c>
      <c r="E8" s="2">
        <v>170</v>
      </c>
      <c r="F8" s="2">
        <v>250</v>
      </c>
      <c r="G8" s="2">
        <v>350</v>
      </c>
      <c r="I8" s="2">
        <v>220</v>
      </c>
      <c r="J8" s="2">
        <v>330</v>
      </c>
    </row>
    <row r="9" spans="1:11" ht="45">
      <c r="A9" s="1" t="s">
        <v>15</v>
      </c>
      <c r="B9" s="2">
        <v>130</v>
      </c>
      <c r="D9" s="2">
        <v>170</v>
      </c>
      <c r="E9" s="2">
        <v>250</v>
      </c>
      <c r="F9" s="2">
        <v>350</v>
      </c>
      <c r="H9" s="2">
        <v>220</v>
      </c>
      <c r="I9" s="2">
        <v>330</v>
      </c>
    </row>
  </sheetData>
  <pageMargins left="0.7" right="0.7" top="0.75" bottom="0.75" header="0.3" footer="0.3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zoomScaleNormal="100" workbookViewId="0">
      <selection activeCell="E17" sqref="E17"/>
    </sheetView>
  </sheetViews>
  <sheetFormatPr defaultRowHeight="15"/>
  <cols>
    <col min="1" max="1" width="14.85546875" style="1" customWidth="1"/>
    <col min="2" max="2" width="14.85546875" style="2" customWidth="1"/>
    <col min="3" max="3" width="13.85546875" style="2" customWidth="1"/>
    <col min="4" max="5" width="12" style="2" customWidth="1"/>
    <col min="6" max="6" width="11.85546875" style="2" customWidth="1"/>
    <col min="7" max="7" width="11.140625" style="2" customWidth="1"/>
    <col min="8" max="8" width="11" style="2" customWidth="1"/>
    <col min="9" max="9" width="11.7109375" style="2" customWidth="1"/>
    <col min="10" max="10" width="11.140625" style="2" customWidth="1"/>
    <col min="11" max="11" width="11" style="2" customWidth="1"/>
    <col min="12" max="16384" width="9.140625" style="2"/>
  </cols>
  <sheetData>
    <row r="1" spans="1:11">
      <c r="A1" s="1" t="s">
        <v>20</v>
      </c>
    </row>
    <row r="3" spans="1:11">
      <c r="B3" s="2" t="s">
        <v>17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pans="1:11" ht="90">
      <c r="A4" s="1" t="s">
        <v>18</v>
      </c>
      <c r="C4" s="2">
        <f>CEILING('GRUPPO FRENO'!B9*1*1.005,1)</f>
        <v>130</v>
      </c>
      <c r="E4" s="2">
        <f>CEILING('GRUPPO FRENO'!D9*1*1.005,1)</f>
        <v>272</v>
      </c>
      <c r="F4" s="2">
        <f>CEILING('GRUPPO FRENO'!E9*1*1.005,1)</f>
        <v>252</v>
      </c>
      <c r="G4" s="2">
        <f>CEILING('GRUPPO FRENO'!F9*1*1.005,1)</f>
        <v>353</v>
      </c>
      <c r="I4" s="2">
        <f>CEILING('GRUPPO FRENO'!H9*1*1.005,1)</f>
        <v>217</v>
      </c>
      <c r="J4" s="2">
        <f>CEILING('GRUPPO FRENO'!I9*1*1.005,1)</f>
        <v>332</v>
      </c>
    </row>
    <row r="5" spans="1:11" ht="30">
      <c r="A5" s="1" t="s">
        <v>11</v>
      </c>
    </row>
    <row r="6" spans="1:11" ht="45">
      <c r="A6" s="1" t="s">
        <v>12</v>
      </c>
      <c r="D6" s="2">
        <v>404</v>
      </c>
      <c r="E6" s="2">
        <v>404</v>
      </c>
      <c r="F6" s="2">
        <f>E6-E4</f>
        <v>132</v>
      </c>
      <c r="H6" s="2">
        <v>7</v>
      </c>
      <c r="I6" s="2">
        <v>7</v>
      </c>
      <c r="K6" s="2">
        <v>8</v>
      </c>
    </row>
    <row r="7" spans="1:11">
      <c r="A7" s="1" t="s">
        <v>13</v>
      </c>
      <c r="C7" s="2">
        <v>130</v>
      </c>
      <c r="F7" s="2">
        <f>F4-F6</f>
        <v>120</v>
      </c>
      <c r="G7" s="2">
        <f>G4-G6</f>
        <v>353</v>
      </c>
      <c r="I7" s="2">
        <f>I4-I6</f>
        <v>210</v>
      </c>
      <c r="J7" s="2">
        <f>J4-J6</f>
        <v>332</v>
      </c>
    </row>
    <row r="8" spans="1:11" ht="45">
      <c r="A8" s="1" t="s">
        <v>14</v>
      </c>
      <c r="C8" s="2">
        <v>130</v>
      </c>
      <c r="F8" s="2">
        <v>120</v>
      </c>
      <c r="G8" s="2">
        <v>360</v>
      </c>
      <c r="I8" s="2">
        <v>210</v>
      </c>
      <c r="J8" s="2">
        <v>340</v>
      </c>
    </row>
    <row r="9" spans="1:11" ht="45">
      <c r="A9" s="1" t="s">
        <v>15</v>
      </c>
      <c r="B9" s="2">
        <v>130</v>
      </c>
      <c r="E9" s="2">
        <v>120</v>
      </c>
      <c r="F9" s="2">
        <v>360</v>
      </c>
      <c r="H9" s="2">
        <v>210</v>
      </c>
      <c r="I9" s="2">
        <v>340</v>
      </c>
    </row>
  </sheetData>
  <pageMargins left="0.7" right="0.7" top="0.75" bottom="0.75" header="0.3" footer="0.3"/>
  <pageSetup paperSize="9" scale="9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"/>
  <sheetViews>
    <sheetView view="pageBreakPreview" zoomScale="60" zoomScaleNormal="100" workbookViewId="0">
      <selection activeCell="K9" sqref="K9"/>
    </sheetView>
  </sheetViews>
  <sheetFormatPr defaultRowHeight="15"/>
  <cols>
    <col min="1" max="1" width="14.85546875" style="1" customWidth="1"/>
    <col min="2" max="2" width="14.85546875" style="2" customWidth="1"/>
    <col min="3" max="3" width="11.7109375" style="2" customWidth="1"/>
    <col min="4" max="4" width="11.42578125" style="2" customWidth="1"/>
    <col min="5" max="5" width="12" style="2" customWidth="1"/>
    <col min="6" max="6" width="11.85546875" style="2" customWidth="1"/>
    <col min="7" max="7" width="10.140625" style="2" customWidth="1"/>
    <col min="8" max="8" width="11" style="2" customWidth="1"/>
    <col min="9" max="9" width="11.7109375" style="2" customWidth="1"/>
    <col min="10" max="10" width="10.42578125" style="2" customWidth="1"/>
    <col min="11" max="11" width="10.85546875" style="2" customWidth="1"/>
    <col min="12" max="12" width="11.42578125" style="2" customWidth="1"/>
    <col min="13" max="16384" width="9.140625" style="2"/>
  </cols>
  <sheetData>
    <row r="1" spans="1:12" ht="30">
      <c r="A1" s="1" t="s">
        <v>0</v>
      </c>
    </row>
    <row r="3" spans="1:12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21</v>
      </c>
      <c r="L3" s="2" t="s">
        <v>22</v>
      </c>
    </row>
    <row r="4" spans="1:12" ht="45">
      <c r="A4" s="1" t="s">
        <v>10</v>
      </c>
      <c r="C4" s="2">
        <v>129</v>
      </c>
      <c r="E4" s="2">
        <v>270</v>
      </c>
      <c r="F4" s="2">
        <v>250</v>
      </c>
      <c r="G4" s="2">
        <v>351</v>
      </c>
      <c r="I4" s="2">
        <v>215</v>
      </c>
      <c r="J4" s="2">
        <v>330</v>
      </c>
      <c r="L4" s="2" t="s">
        <v>23</v>
      </c>
    </row>
    <row r="5" spans="1:12" ht="30">
      <c r="A5" s="1" t="s">
        <v>11</v>
      </c>
    </row>
    <row r="6" spans="1:12" ht="45">
      <c r="A6" s="1" t="s">
        <v>12</v>
      </c>
    </row>
    <row r="7" spans="1:12" ht="20.25" customHeight="1">
      <c r="A7" s="1" t="s">
        <v>13</v>
      </c>
      <c r="C7" s="2">
        <f t="shared" ref="C7:I7" si="0">C4-C5-C6</f>
        <v>129</v>
      </c>
      <c r="E7" s="2">
        <f t="shared" si="0"/>
        <v>270</v>
      </c>
      <c r="F7" s="2">
        <f t="shared" si="0"/>
        <v>250</v>
      </c>
      <c r="G7" s="2">
        <f t="shared" si="0"/>
        <v>351</v>
      </c>
      <c r="I7" s="2">
        <f t="shared" si="0"/>
        <v>215</v>
      </c>
      <c r="J7" s="2">
        <f>J4-J5-J6</f>
        <v>330</v>
      </c>
      <c r="L7" s="2" t="s">
        <v>23</v>
      </c>
    </row>
    <row r="8" spans="1:12" ht="45">
      <c r="A8" s="1" t="s">
        <v>14</v>
      </c>
      <c r="C8" s="2">
        <v>129</v>
      </c>
      <c r="E8" s="2">
        <f>E7</f>
        <v>270</v>
      </c>
      <c r="F8" s="2">
        <f>F7</f>
        <v>250</v>
      </c>
      <c r="G8" s="2">
        <f>G7</f>
        <v>351</v>
      </c>
      <c r="I8" s="2">
        <f>I7</f>
        <v>215</v>
      </c>
      <c r="J8" s="2">
        <f>J7</f>
        <v>330</v>
      </c>
      <c r="L8" s="2" t="s">
        <v>23</v>
      </c>
    </row>
    <row r="9" spans="1:12" ht="45">
      <c r="A9" s="1" t="s">
        <v>15</v>
      </c>
      <c r="B9" s="2">
        <v>129</v>
      </c>
      <c r="D9" s="2">
        <v>270</v>
      </c>
      <c r="E9" s="2">
        <v>250</v>
      </c>
      <c r="F9" s="2">
        <v>351</v>
      </c>
      <c r="H9" s="2">
        <v>215</v>
      </c>
      <c r="I9" s="2">
        <v>330</v>
      </c>
      <c r="K9" s="2" t="s">
        <v>23</v>
      </c>
    </row>
  </sheetData>
  <pageMargins left="0.7" right="0.7" top="0.75" bottom="0.75" header="0.3" footer="0.3"/>
  <pageSetup paperSize="9" scale="9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"/>
  <sheetViews>
    <sheetView view="pageBreakPreview" zoomScale="60" zoomScaleNormal="100" workbookViewId="0">
      <selection activeCell="K9" sqref="K9"/>
    </sheetView>
  </sheetViews>
  <sheetFormatPr defaultRowHeight="15"/>
  <cols>
    <col min="1" max="1" width="14.85546875" style="1" customWidth="1"/>
    <col min="2" max="2" width="14.85546875" style="2" customWidth="1"/>
    <col min="3" max="3" width="13.85546875" style="2" customWidth="1"/>
    <col min="4" max="5" width="12" style="2" customWidth="1"/>
    <col min="6" max="6" width="11.85546875" style="2" customWidth="1"/>
    <col min="7" max="7" width="11.140625" style="2" customWidth="1"/>
    <col min="8" max="8" width="11" style="2" customWidth="1"/>
    <col min="9" max="9" width="11.7109375" style="2" customWidth="1"/>
    <col min="10" max="10" width="11.140625" style="2" customWidth="1"/>
    <col min="11" max="11" width="11" style="2" customWidth="1"/>
    <col min="12" max="12" width="11.7109375" style="2" customWidth="1"/>
    <col min="13" max="16384" width="9.140625" style="2"/>
  </cols>
  <sheetData>
    <row r="1" spans="1:12">
      <c r="A1" s="1" t="s">
        <v>16</v>
      </c>
    </row>
    <row r="3" spans="1:12">
      <c r="B3" s="2" t="s">
        <v>17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21</v>
      </c>
    </row>
    <row r="4" spans="1:12" ht="90">
      <c r="A4" s="1" t="s">
        <v>18</v>
      </c>
      <c r="C4" s="2">
        <f>CEILING('GRUPPO FRENO'!B9*2*1.014,1)</f>
        <v>262</v>
      </c>
      <c r="E4" s="2">
        <f>CEILING('GRUPPO FRENO'!D9*2*1.014,1)</f>
        <v>548</v>
      </c>
      <c r="F4" s="2">
        <f>CEILING('GRUPPO FRENO'!E9*2*1.014,1)</f>
        <v>507</v>
      </c>
      <c r="G4" s="2">
        <f>CEILING('GRUPPO FRENO'!F9*2*1.014,1)</f>
        <v>712</v>
      </c>
      <c r="I4" s="2">
        <f>CEILING('GRUPPO FRENO'!H9*2*1.014,1)</f>
        <v>437</v>
      </c>
      <c r="J4" s="2">
        <f>CEILING('GRUPPO FRENO'!I9*2*1.014,1)</f>
        <v>670</v>
      </c>
      <c r="L4" s="2" t="s">
        <v>24</v>
      </c>
    </row>
    <row r="5" spans="1:12" ht="30">
      <c r="A5" s="1" t="s">
        <v>11</v>
      </c>
      <c r="E5" s="2">
        <v>50</v>
      </c>
    </row>
    <row r="6" spans="1:12" ht="45">
      <c r="A6" s="1" t="s">
        <v>12</v>
      </c>
      <c r="D6" s="2">
        <v>20</v>
      </c>
      <c r="E6" s="2">
        <v>20</v>
      </c>
    </row>
    <row r="7" spans="1:12">
      <c r="A7" s="1" t="s">
        <v>13</v>
      </c>
      <c r="C7" s="2">
        <f>C4-C5-C6</f>
        <v>262</v>
      </c>
      <c r="E7" s="2">
        <f>E4-E5-E6</f>
        <v>478</v>
      </c>
      <c r="F7" s="2">
        <f>F4-F5-F6</f>
        <v>507</v>
      </c>
      <c r="G7" s="2">
        <f t="shared" ref="G7:J7" si="0">G4-G5-G6</f>
        <v>712</v>
      </c>
      <c r="I7" s="2">
        <f t="shared" si="0"/>
        <v>437</v>
      </c>
      <c r="J7" s="2">
        <f t="shared" si="0"/>
        <v>670</v>
      </c>
      <c r="L7" s="2" t="s">
        <v>24</v>
      </c>
    </row>
    <row r="8" spans="1:12" ht="45">
      <c r="A8" s="1" t="s">
        <v>14</v>
      </c>
      <c r="C8" s="2">
        <v>262</v>
      </c>
      <c r="E8" s="2">
        <v>478</v>
      </c>
      <c r="F8" s="2">
        <v>507</v>
      </c>
      <c r="G8" s="2">
        <v>712</v>
      </c>
      <c r="I8" s="2">
        <v>437</v>
      </c>
      <c r="J8" s="2">
        <v>670</v>
      </c>
      <c r="L8" s="2" t="s">
        <v>24</v>
      </c>
    </row>
    <row r="9" spans="1:12" ht="45">
      <c r="A9" s="1" t="s">
        <v>15</v>
      </c>
      <c r="B9" s="2">
        <v>262</v>
      </c>
      <c r="D9" s="2">
        <v>478</v>
      </c>
      <c r="E9" s="2">
        <v>507</v>
      </c>
      <c r="F9" s="2">
        <v>712</v>
      </c>
      <c r="H9" s="2">
        <v>437</v>
      </c>
      <c r="I9" s="2">
        <v>670</v>
      </c>
      <c r="K9" s="2" t="s">
        <v>24</v>
      </c>
    </row>
    <row r="13" spans="1:12">
      <c r="D13" s="2" t="s">
        <v>25</v>
      </c>
    </row>
  </sheetData>
  <pageMargins left="0.7" right="0.7" top="0.75" bottom="0.75" header="0.3" footer="0.3"/>
  <pageSetup paperSize="9" scale="8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"/>
  <sheetViews>
    <sheetView workbookViewId="0">
      <selection activeCell="L7" sqref="L7"/>
    </sheetView>
  </sheetViews>
  <sheetFormatPr defaultRowHeight="15"/>
  <cols>
    <col min="1" max="1" width="14.85546875" style="1" customWidth="1"/>
    <col min="2" max="2" width="14.85546875" style="2" customWidth="1"/>
    <col min="3" max="3" width="13.85546875" style="2" customWidth="1"/>
    <col min="4" max="5" width="12" style="2" customWidth="1"/>
    <col min="6" max="6" width="11.85546875" style="2" customWidth="1"/>
    <col min="7" max="7" width="11.140625" style="2" customWidth="1"/>
    <col min="8" max="8" width="11" style="2" customWidth="1"/>
    <col min="9" max="9" width="11.7109375" style="2" customWidth="1"/>
    <col min="10" max="10" width="11.140625" style="2" customWidth="1"/>
    <col min="11" max="12" width="11" style="2" customWidth="1"/>
    <col min="13" max="16384" width="9.140625" style="2"/>
  </cols>
  <sheetData>
    <row r="1" spans="1:12">
      <c r="A1" s="1" t="s">
        <v>19</v>
      </c>
    </row>
    <row r="3" spans="1:12">
      <c r="B3" s="2" t="s">
        <v>17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21</v>
      </c>
    </row>
    <row r="4" spans="1:12" ht="90">
      <c r="A4" s="1" t="s">
        <v>18</v>
      </c>
      <c r="C4" s="2">
        <f>CEILING('GRUPPO FRENO'!B9*1*1.005,1)</f>
        <v>130</v>
      </c>
      <c r="E4" s="2">
        <f>CEILING('GRUPPO FRENO'!D9*1*1.005,1)</f>
        <v>272</v>
      </c>
      <c r="F4" s="2">
        <f>CEILING('GRUPPO FRENO'!E9*1*1.005,1)</f>
        <v>252</v>
      </c>
      <c r="G4" s="2">
        <f>CEILING('GRUPPO FRENO'!F9*1*1.005,1)</f>
        <v>353</v>
      </c>
      <c r="I4" s="2">
        <f>CEILING('GRUPPO FRENO'!H9*1*1.005,1)</f>
        <v>217</v>
      </c>
      <c r="J4" s="2">
        <f>CEILING('GRUPPO FRENO'!I9*1*1.005,1)</f>
        <v>332</v>
      </c>
      <c r="L4" s="2" t="s">
        <v>26</v>
      </c>
    </row>
    <row r="5" spans="1:12" ht="30">
      <c r="A5" s="1" t="s">
        <v>11</v>
      </c>
    </row>
    <row r="6" spans="1:12" ht="45">
      <c r="A6" s="1" t="s">
        <v>12</v>
      </c>
      <c r="D6" s="2">
        <v>110</v>
      </c>
      <c r="E6" s="2">
        <v>110</v>
      </c>
      <c r="F6" s="2">
        <v>8</v>
      </c>
      <c r="G6" s="2">
        <v>6</v>
      </c>
      <c r="H6" s="2">
        <v>3</v>
      </c>
      <c r="I6" s="2">
        <v>3</v>
      </c>
      <c r="J6" s="2">
        <v>6</v>
      </c>
      <c r="K6" s="2">
        <v>4</v>
      </c>
      <c r="L6" s="2">
        <v>4</v>
      </c>
    </row>
    <row r="7" spans="1:12">
      <c r="A7" s="1" t="s">
        <v>13</v>
      </c>
      <c r="C7" s="2">
        <v>130</v>
      </c>
      <c r="E7" s="2">
        <f>E4-E6</f>
        <v>162</v>
      </c>
      <c r="F7" s="2">
        <f>F4-F6</f>
        <v>244</v>
      </c>
      <c r="G7" s="2">
        <f>G4-G6</f>
        <v>347</v>
      </c>
      <c r="I7" s="2">
        <f>I4-I6</f>
        <v>214</v>
      </c>
      <c r="J7" s="2">
        <f>J4-J6</f>
        <v>326</v>
      </c>
      <c r="L7" s="2" t="s">
        <v>27</v>
      </c>
    </row>
    <row r="8" spans="1:12" ht="60">
      <c r="A8" s="1" t="s">
        <v>14</v>
      </c>
      <c r="C8" s="2">
        <v>130</v>
      </c>
      <c r="E8" s="2">
        <v>170</v>
      </c>
      <c r="F8" s="2">
        <v>250</v>
      </c>
      <c r="G8" s="2">
        <v>350</v>
      </c>
      <c r="I8" s="2">
        <v>220</v>
      </c>
      <c r="J8" s="2">
        <v>330</v>
      </c>
      <c r="L8" s="1" t="s">
        <v>28</v>
      </c>
    </row>
    <row r="9" spans="1:12" ht="60">
      <c r="A9" s="1" t="s">
        <v>15</v>
      </c>
      <c r="B9" s="2">
        <v>130</v>
      </c>
      <c r="D9" s="2">
        <v>170</v>
      </c>
      <c r="E9" s="2">
        <v>250</v>
      </c>
      <c r="F9" s="2">
        <v>350</v>
      </c>
      <c r="H9" s="2">
        <v>220</v>
      </c>
      <c r="I9" s="2">
        <v>330</v>
      </c>
      <c r="K9" s="1" t="s">
        <v>28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"/>
  <sheetViews>
    <sheetView workbookViewId="0">
      <selection activeCell="I16" sqref="I16"/>
    </sheetView>
  </sheetViews>
  <sheetFormatPr defaultRowHeight="15"/>
  <cols>
    <col min="1" max="1" width="14.85546875" style="1" customWidth="1"/>
    <col min="2" max="2" width="14.85546875" style="2" customWidth="1"/>
    <col min="3" max="3" width="13.85546875" style="2" customWidth="1"/>
    <col min="4" max="5" width="12" style="2" customWidth="1"/>
    <col min="6" max="6" width="11.85546875" style="2" customWidth="1"/>
    <col min="7" max="7" width="11.140625" style="2" customWidth="1"/>
    <col min="8" max="8" width="11" style="2" customWidth="1"/>
    <col min="9" max="9" width="11.7109375" style="2" customWidth="1"/>
    <col min="10" max="10" width="11.140625" style="2" customWidth="1"/>
    <col min="11" max="11" width="11" style="2" customWidth="1"/>
    <col min="12" max="12" width="10.5703125" style="2" bestFit="1" customWidth="1"/>
    <col min="13" max="16384" width="9.140625" style="2"/>
  </cols>
  <sheetData>
    <row r="1" spans="1:12">
      <c r="A1" s="1" t="s">
        <v>20</v>
      </c>
    </row>
    <row r="3" spans="1:12">
      <c r="B3" s="2" t="s">
        <v>17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29</v>
      </c>
    </row>
    <row r="4" spans="1:12" ht="90">
      <c r="A4" s="1" t="s">
        <v>18</v>
      </c>
      <c r="C4" s="2">
        <f>CEILING('GRUPPO FRENO'!B9*1*1.005,1)</f>
        <v>130</v>
      </c>
      <c r="E4" s="2">
        <f>CEILING('GRUPPO FRENO'!D9*1*1.005,1)</f>
        <v>272</v>
      </c>
      <c r="F4" s="2">
        <f>CEILING('GRUPPO FRENO'!E9*1*1.005,1)</f>
        <v>252</v>
      </c>
      <c r="G4" s="2">
        <f>CEILING('GRUPPO FRENO'!F9*1*1.005,1)</f>
        <v>353</v>
      </c>
      <c r="I4" s="2">
        <f>CEILING('GRUPPO FRENO'!H9*1*1.005,1)</f>
        <v>217</v>
      </c>
      <c r="J4" s="2">
        <f>CEILING('GRUPPO FRENO'!I9*1*1.005,1)</f>
        <v>332</v>
      </c>
    </row>
    <row r="5" spans="1:12" ht="30">
      <c r="A5" s="1" t="s">
        <v>11</v>
      </c>
    </row>
    <row r="6" spans="1:12" ht="45">
      <c r="A6" s="1" t="s">
        <v>12</v>
      </c>
      <c r="D6" s="2">
        <v>404</v>
      </c>
      <c r="E6" s="2">
        <v>404</v>
      </c>
      <c r="F6" s="2">
        <f>E6-E4</f>
        <v>132</v>
      </c>
      <c r="H6" s="2">
        <v>7</v>
      </c>
      <c r="I6" s="2">
        <v>7</v>
      </c>
      <c r="K6" s="2">
        <v>8</v>
      </c>
    </row>
    <row r="7" spans="1:12">
      <c r="A7" s="1" t="s">
        <v>13</v>
      </c>
      <c r="C7" s="2">
        <v>130</v>
      </c>
      <c r="F7" s="2">
        <f>F4-F6</f>
        <v>120</v>
      </c>
      <c r="G7" s="2">
        <f>G4-G6</f>
        <v>353</v>
      </c>
      <c r="I7" s="2">
        <f>I4-I6</f>
        <v>210</v>
      </c>
      <c r="J7" s="2">
        <f>J4-J6</f>
        <v>332</v>
      </c>
    </row>
    <row r="8" spans="1:12" ht="45">
      <c r="A8" s="1" t="s">
        <v>14</v>
      </c>
      <c r="C8" s="2">
        <v>130</v>
      </c>
      <c r="F8" s="2">
        <v>120</v>
      </c>
      <c r="G8" s="2">
        <v>360</v>
      </c>
      <c r="I8" s="2">
        <v>210</v>
      </c>
      <c r="J8" s="2">
        <v>340</v>
      </c>
    </row>
    <row r="9" spans="1:12" ht="45">
      <c r="A9" s="1" t="s">
        <v>15</v>
      </c>
      <c r="B9" s="2">
        <v>130</v>
      </c>
      <c r="E9" s="2">
        <v>120</v>
      </c>
      <c r="F9" s="2">
        <v>360</v>
      </c>
      <c r="H9" s="2">
        <v>210</v>
      </c>
      <c r="I9" s="2">
        <v>340</v>
      </c>
      <c r="K9" s="2" t="s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"/>
  <sheetViews>
    <sheetView view="pageBreakPreview" zoomScale="60" zoomScaleNormal="100" workbookViewId="0">
      <selection activeCell="H10" sqref="H10"/>
    </sheetView>
  </sheetViews>
  <sheetFormatPr defaultRowHeight="15"/>
  <cols>
    <col min="1" max="1" width="24.42578125" style="1" bestFit="1" customWidth="1"/>
    <col min="2" max="2" width="14.85546875" style="2" customWidth="1"/>
    <col min="3" max="3" width="11.7109375" style="2" customWidth="1"/>
    <col min="4" max="4" width="11.42578125" style="2" customWidth="1"/>
    <col min="5" max="5" width="12" style="2" customWidth="1"/>
    <col min="6" max="6" width="11.85546875" style="2" customWidth="1"/>
    <col min="7" max="7" width="10.140625" style="2" customWidth="1"/>
    <col min="8" max="8" width="11" style="2" customWidth="1"/>
    <col min="9" max="9" width="11.7109375" style="2" customWidth="1"/>
    <col min="10" max="10" width="12.5703125" style="2" customWidth="1"/>
    <col min="11" max="16384" width="9.140625" style="2"/>
  </cols>
  <sheetData>
    <row r="1" spans="1:10" ht="30">
      <c r="A1" s="1" t="s">
        <v>31</v>
      </c>
    </row>
    <row r="3" spans="1:10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</row>
    <row r="4" spans="1:10" ht="30">
      <c r="A4" s="1" t="s">
        <v>10</v>
      </c>
      <c r="C4" s="2">
        <v>129</v>
      </c>
      <c r="E4" s="2">
        <v>270</v>
      </c>
      <c r="F4" s="2">
        <v>250</v>
      </c>
      <c r="G4" s="2">
        <v>351</v>
      </c>
      <c r="I4" s="2">
        <v>215</v>
      </c>
      <c r="J4" s="2">
        <v>330</v>
      </c>
    </row>
    <row r="5" spans="1:10">
      <c r="A5" s="1" t="s">
        <v>11</v>
      </c>
    </row>
    <row r="6" spans="1:10" ht="30">
      <c r="A6" s="1" t="s">
        <v>12</v>
      </c>
    </row>
    <row r="7" spans="1:10">
      <c r="A7" s="1" t="s">
        <v>13</v>
      </c>
      <c r="C7" s="2">
        <f t="shared" ref="C7:J7" si="0">C4-C5-C6</f>
        <v>129</v>
      </c>
      <c r="E7" s="2">
        <f t="shared" si="0"/>
        <v>270</v>
      </c>
      <c r="F7" s="2">
        <f t="shared" si="0"/>
        <v>250</v>
      </c>
      <c r="G7" s="2">
        <f t="shared" si="0"/>
        <v>351</v>
      </c>
      <c r="I7" s="2">
        <f t="shared" si="0"/>
        <v>215</v>
      </c>
      <c r="J7" s="2">
        <f t="shared" si="0"/>
        <v>330</v>
      </c>
    </row>
    <row r="8" spans="1:10" ht="30">
      <c r="A8" s="1" t="s">
        <v>14</v>
      </c>
      <c r="C8" s="2">
        <v>129</v>
      </c>
      <c r="E8" s="2">
        <f>E7</f>
        <v>270</v>
      </c>
      <c r="H8" s="2">
        <v>601</v>
      </c>
      <c r="J8" s="2">
        <f>330+215</f>
        <v>545</v>
      </c>
    </row>
    <row r="9" spans="1:10" ht="30">
      <c r="A9" s="1" t="s">
        <v>15</v>
      </c>
      <c r="B9" s="2">
        <v>129</v>
      </c>
      <c r="D9" s="2">
        <v>270</v>
      </c>
      <c r="E9" s="3" t="s">
        <v>32</v>
      </c>
      <c r="F9" s="4" t="s">
        <v>32</v>
      </c>
      <c r="G9" s="2">
        <f>F4+G4</f>
        <v>601</v>
      </c>
      <c r="H9" s="2">
        <v>215</v>
      </c>
      <c r="I9" s="2">
        <v>330</v>
      </c>
    </row>
    <row r="10" spans="1:10">
      <c r="A10" s="1" t="s">
        <v>33</v>
      </c>
      <c r="H10" s="2">
        <f>G9</f>
        <v>601</v>
      </c>
    </row>
  </sheetData>
  <pageMargins left="0.7" right="0.7" top="0.75" bottom="0.75" header="0.3" footer="0.3"/>
  <pageSetup paperSize="9" scale="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9"/>
  <sheetViews>
    <sheetView tabSelected="1" view="pageBreakPreview" zoomScale="60" zoomScaleNormal="75" workbookViewId="0">
      <selection activeCell="F9" sqref="F9"/>
    </sheetView>
  </sheetViews>
  <sheetFormatPr defaultColWidth="15" defaultRowHeight="15"/>
  <cols>
    <col min="1" max="1" width="19.140625" style="1" bestFit="1" customWidth="1"/>
    <col min="2" max="3" width="14.42578125" style="2" bestFit="1" customWidth="1"/>
    <col min="4" max="7" width="11.7109375" style="2" bestFit="1" customWidth="1"/>
    <col min="8" max="11" width="11.140625" style="2" bestFit="1" customWidth="1"/>
    <col min="12" max="16384" width="15" style="2"/>
  </cols>
  <sheetData>
    <row r="1" spans="1:11">
      <c r="A1" s="1" t="s">
        <v>34</v>
      </c>
    </row>
    <row r="3" spans="1:11">
      <c r="B3" s="2" t="s">
        <v>17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pans="1:11" ht="75">
      <c r="A4" s="1" t="s">
        <v>18</v>
      </c>
      <c r="C4" s="2">
        <f>CEILING('GRUPPO FRENO'!B9*2*1.014,1)</f>
        <v>262</v>
      </c>
      <c r="E4" s="2">
        <f>CEILING('GRUPPO FRENO'!D9*2*1.014,1)</f>
        <v>548</v>
      </c>
      <c r="F4" s="2">
        <f>CEILING('GRUPPO FRENO'!E9*2*1.014,1)</f>
        <v>507</v>
      </c>
      <c r="G4" s="2">
        <f>CEILING('GRUPPO FRENO'!F9*2*1.014,1)</f>
        <v>712</v>
      </c>
      <c r="I4" s="2">
        <f>CEILING('GRUPPO FRENO'!H9*2*1.014,1)</f>
        <v>437</v>
      </c>
      <c r="J4" s="2">
        <f>CEILING('GRUPPO FRENO'!I9*2*1.014,1)</f>
        <v>670</v>
      </c>
    </row>
    <row r="5" spans="1:11" ht="30">
      <c r="A5" s="1" t="s">
        <v>11</v>
      </c>
      <c r="E5" s="2">
        <v>50</v>
      </c>
    </row>
    <row r="6" spans="1:11" ht="45">
      <c r="A6" s="1" t="s">
        <v>12</v>
      </c>
      <c r="D6" s="2">
        <v>20</v>
      </c>
      <c r="E6" s="2">
        <v>20</v>
      </c>
    </row>
    <row r="7" spans="1:11">
      <c r="A7" s="1" t="s">
        <v>13</v>
      </c>
      <c r="C7" s="2">
        <f>C4-C5-C6</f>
        <v>262</v>
      </c>
      <c r="E7" s="2">
        <f>E4-E5-E6</f>
        <v>478</v>
      </c>
      <c r="F7" s="2">
        <f>F4-F5-F6</f>
        <v>507</v>
      </c>
      <c r="G7" s="2">
        <f t="shared" ref="G7:J7" si="0">G4-G5-G6</f>
        <v>712</v>
      </c>
      <c r="I7" s="2">
        <f t="shared" si="0"/>
        <v>437</v>
      </c>
      <c r="J7" s="2">
        <f t="shared" si="0"/>
        <v>670</v>
      </c>
    </row>
    <row r="8" spans="1:11" ht="45" customHeight="1">
      <c r="A8" s="1" t="s">
        <v>14</v>
      </c>
      <c r="C8" s="2">
        <v>262</v>
      </c>
      <c r="E8" s="2">
        <v>478</v>
      </c>
      <c r="F8" s="5" t="s">
        <v>35</v>
      </c>
      <c r="G8" s="6"/>
      <c r="H8" s="2">
        <f>E9+F9</f>
        <v>1219</v>
      </c>
      <c r="I8" s="2">
        <v>437</v>
      </c>
      <c r="J8" s="2">
        <v>670</v>
      </c>
    </row>
    <row r="9" spans="1:11" ht="30">
      <c r="A9" s="1" t="s">
        <v>15</v>
      </c>
      <c r="B9" s="2">
        <v>262</v>
      </c>
      <c r="D9" s="2">
        <v>478</v>
      </c>
      <c r="E9" s="2">
        <v>507</v>
      </c>
      <c r="F9" s="2">
        <v>712</v>
      </c>
      <c r="H9" s="2">
        <v>437</v>
      </c>
      <c r="I9" s="2">
        <v>670</v>
      </c>
    </row>
  </sheetData>
  <mergeCells count="1">
    <mergeCell ref="F8:G8"/>
  </mergeCells>
  <pageMargins left="0.7" right="0.7" top="0.75" bottom="0.75" header="0.3" footer="0.3"/>
  <pageSetup paperSize="9" scale="94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9"/>
  <sheetViews>
    <sheetView workbookViewId="0">
      <selection activeCell="F15" sqref="F15"/>
    </sheetView>
  </sheetViews>
  <sheetFormatPr defaultColWidth="15" defaultRowHeight="15"/>
  <cols>
    <col min="1" max="1" width="14.5703125" style="1" bestFit="1" customWidth="1"/>
    <col min="2" max="3" width="14.42578125" style="2" bestFit="1" customWidth="1"/>
    <col min="4" max="7" width="11.42578125" style="2" bestFit="1" customWidth="1"/>
    <col min="8" max="11" width="10.85546875" style="2" bestFit="1" customWidth="1"/>
    <col min="12" max="16384" width="15" style="2"/>
  </cols>
  <sheetData>
    <row r="1" spans="1:11">
      <c r="A1" s="1" t="s">
        <v>19</v>
      </c>
    </row>
    <row r="3" spans="1:11">
      <c r="B3" s="2" t="s">
        <v>17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pans="1:11" ht="90">
      <c r="A4" s="1" t="s">
        <v>18</v>
      </c>
      <c r="C4" s="2">
        <f>CEILING('GRUPPO FRENO'!B9*1*1.005,1)</f>
        <v>130</v>
      </c>
      <c r="E4" s="2">
        <f>CEILING('GRUPPO FRENO'!D9*1*1.005,1)</f>
        <v>272</v>
      </c>
      <c r="F4" s="2">
        <f>CEILING('GRUPPO FRENO'!E9*1*1.005,1)</f>
        <v>252</v>
      </c>
      <c r="G4" s="2">
        <f>CEILING('GRUPPO FRENO'!F9*1*1.005,1)</f>
        <v>353</v>
      </c>
      <c r="I4" s="2">
        <f>CEILING('GRUPPO FRENO'!H9*1*1.005,1)</f>
        <v>217</v>
      </c>
      <c r="J4" s="2">
        <f>CEILING('GRUPPO FRENO'!I9*1*1.005,1)</f>
        <v>332</v>
      </c>
    </row>
    <row r="5" spans="1:11" ht="30">
      <c r="A5" s="1" t="s">
        <v>11</v>
      </c>
    </row>
    <row r="6" spans="1:11" ht="45">
      <c r="A6" s="1" t="s">
        <v>12</v>
      </c>
      <c r="D6" s="2">
        <v>110</v>
      </c>
      <c r="E6" s="2">
        <v>110</v>
      </c>
      <c r="F6" s="2">
        <v>8</v>
      </c>
      <c r="G6" s="3" t="s">
        <v>36</v>
      </c>
      <c r="H6" s="4" t="s">
        <v>37</v>
      </c>
      <c r="I6" s="2">
        <v>3</v>
      </c>
      <c r="J6" s="2" t="s">
        <v>38</v>
      </c>
      <c r="K6" s="2">
        <v>4</v>
      </c>
    </row>
    <row r="7" spans="1:11">
      <c r="A7" s="1" t="s">
        <v>13</v>
      </c>
      <c r="C7" s="2">
        <v>130</v>
      </c>
      <c r="E7" s="2">
        <f>E4-E6</f>
        <v>162</v>
      </c>
      <c r="F7" s="2">
        <f>F4-F6</f>
        <v>244</v>
      </c>
      <c r="G7" s="2">
        <f>G4-6</f>
        <v>347</v>
      </c>
      <c r="I7" s="2">
        <f>I4-I6</f>
        <v>214</v>
      </c>
      <c r="J7" s="2">
        <f>J4-6</f>
        <v>326</v>
      </c>
    </row>
    <row r="8" spans="1:11" ht="45">
      <c r="A8" s="1" t="s">
        <v>14</v>
      </c>
      <c r="C8" s="2">
        <v>130</v>
      </c>
      <c r="E8" s="2">
        <v>170</v>
      </c>
      <c r="F8" s="2">
        <v>250</v>
      </c>
      <c r="G8" s="2">
        <v>350</v>
      </c>
      <c r="I8" s="2">
        <v>220</v>
      </c>
      <c r="J8" s="2">
        <v>330</v>
      </c>
    </row>
    <row r="9" spans="1:11" ht="45">
      <c r="A9" s="1" t="s">
        <v>15</v>
      </c>
      <c r="B9" s="2">
        <v>130</v>
      </c>
      <c r="D9" s="2">
        <v>170</v>
      </c>
      <c r="E9" s="2">
        <v>250</v>
      </c>
      <c r="F9" s="2">
        <v>350</v>
      </c>
      <c r="H9" s="2">
        <v>220</v>
      </c>
      <c r="I9" s="2">
        <v>330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9"/>
  <sheetViews>
    <sheetView workbookViewId="0">
      <selection activeCell="G14" sqref="G14"/>
    </sheetView>
  </sheetViews>
  <sheetFormatPr defaultRowHeight="15"/>
  <cols>
    <col min="1" max="1" width="14.85546875" style="1" customWidth="1"/>
    <col min="2" max="2" width="14.85546875" style="2" customWidth="1"/>
    <col min="3" max="3" width="13.85546875" style="2" customWidth="1"/>
    <col min="4" max="5" width="12" style="2" customWidth="1"/>
    <col min="6" max="6" width="11.85546875" style="2" customWidth="1"/>
    <col min="7" max="7" width="11.140625" style="2" customWidth="1"/>
    <col min="8" max="8" width="11" style="2" customWidth="1"/>
    <col min="9" max="9" width="11.7109375" style="2" customWidth="1"/>
    <col min="10" max="10" width="11.140625" style="2" customWidth="1"/>
    <col min="11" max="11" width="11" style="2" customWidth="1"/>
    <col min="12" max="16384" width="9.140625" style="2"/>
  </cols>
  <sheetData>
    <row r="1" spans="1:11" ht="30">
      <c r="A1" s="1" t="s">
        <v>39</v>
      </c>
    </row>
    <row r="3" spans="1:11">
      <c r="B3" s="2" t="s">
        <v>17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</row>
    <row r="4" spans="1:11" ht="90">
      <c r="A4" s="1" t="s">
        <v>18</v>
      </c>
      <c r="C4" s="2">
        <f>CEILING('GRUPPO FRENO'!B9*1*1.005,1)</f>
        <v>130</v>
      </c>
      <c r="E4" s="2">
        <f>CEILING('GRUPPO FRENO'!D9*1*1.005,1)</f>
        <v>272</v>
      </c>
      <c r="F4" s="2">
        <f>CEILING('GRUPPO FRENO'!E9*1*1.005,1)</f>
        <v>252</v>
      </c>
      <c r="G4" s="2">
        <f>CEILING('GRUPPO FRENO'!F9*1*1.005,1)</f>
        <v>353</v>
      </c>
      <c r="I4" s="2">
        <f>CEILING('GRUPPO FRENO'!H9*1*1.005,1)</f>
        <v>217</v>
      </c>
      <c r="J4" s="2">
        <f>CEILING('GRUPPO FRENO'!I9*1*1.005,1)</f>
        <v>332</v>
      </c>
    </row>
    <row r="5" spans="1:11" ht="30">
      <c r="A5" s="1" t="s">
        <v>11</v>
      </c>
    </row>
    <row r="6" spans="1:11" ht="45">
      <c r="A6" s="1" t="s">
        <v>12</v>
      </c>
      <c r="D6" s="2">
        <v>404</v>
      </c>
      <c r="E6" s="2">
        <v>404</v>
      </c>
      <c r="F6" s="2">
        <f>E6-E4</f>
        <v>132</v>
      </c>
      <c r="G6" s="2">
        <v>120</v>
      </c>
      <c r="H6" s="2">
        <v>7</v>
      </c>
      <c r="I6" s="2">
        <v>7</v>
      </c>
      <c r="K6" s="2">
        <v>8</v>
      </c>
    </row>
    <row r="7" spans="1:11">
      <c r="A7" s="1" t="s">
        <v>13</v>
      </c>
      <c r="C7" s="2">
        <v>130</v>
      </c>
      <c r="F7" s="2">
        <f>F4-F6</f>
        <v>120</v>
      </c>
      <c r="G7" s="2">
        <f>G4-G6</f>
        <v>233</v>
      </c>
      <c r="I7" s="2">
        <f>I4-I6</f>
        <v>210</v>
      </c>
      <c r="J7" s="2">
        <f>J4-J6</f>
        <v>332</v>
      </c>
    </row>
    <row r="8" spans="1:11" ht="45">
      <c r="A8" s="1" t="s">
        <v>14</v>
      </c>
      <c r="C8" s="2">
        <v>130</v>
      </c>
      <c r="F8" s="2">
        <v>120</v>
      </c>
      <c r="G8" s="2">
        <v>360</v>
      </c>
      <c r="I8" s="2">
        <v>210</v>
      </c>
      <c r="J8" s="2">
        <v>340</v>
      </c>
    </row>
    <row r="9" spans="1:11" ht="45">
      <c r="A9" s="1" t="s">
        <v>15</v>
      </c>
      <c r="B9" s="2">
        <v>130</v>
      </c>
      <c r="E9" s="2">
        <v>120</v>
      </c>
      <c r="F9" s="2">
        <v>360</v>
      </c>
      <c r="H9" s="2">
        <v>210</v>
      </c>
      <c r="I9" s="2">
        <v>340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6FAD49E0BA0C44A9E8DFD56CADBD6F" ma:contentTypeVersion="3" ma:contentTypeDescription="Creare un nuovo documento." ma:contentTypeScope="" ma:versionID="c1fe2810b7b2b369dfcad8e55bf4dc4a">
  <xsd:schema xmlns:xsd="http://www.w3.org/2001/XMLSchema" xmlns:xs="http://www.w3.org/2001/XMLSchema" xmlns:p="http://schemas.microsoft.com/office/2006/metadata/properties" xmlns:ns2="529776fc-97a4-4ac9-9b50-11d2a4fcedbe" targetNamespace="http://schemas.microsoft.com/office/2006/metadata/properties" ma:root="true" ma:fieldsID="78ab8d0ffa9b4b827b4401f725c1e7c5" ns2:_="">
    <xsd:import namespace="529776fc-97a4-4ac9-9b50-11d2a4fced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9776fc-97a4-4ac9-9b50-11d2a4fced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2417CD-639D-401B-A60C-F64BDF5E402D}"/>
</file>

<file path=customXml/itemProps2.xml><?xml version="1.0" encoding="utf-8"?>
<ds:datastoreItem xmlns:ds="http://schemas.openxmlformats.org/officeDocument/2006/customXml" ds:itemID="{F773748F-E44C-4E81-BB27-E132DC3F0686}"/>
</file>

<file path=customXml/itemProps3.xml><?xml version="1.0" encoding="utf-8"?>
<ds:datastoreItem xmlns:ds="http://schemas.openxmlformats.org/officeDocument/2006/customXml" ds:itemID="{84918D05-8938-45AD-BBF4-CAADA07F72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Rita</dc:creator>
  <cp:keywords/>
  <dc:description/>
  <cp:lastModifiedBy>MICHELANGELO ROSSI</cp:lastModifiedBy>
  <cp:revision/>
  <dcterms:created xsi:type="dcterms:W3CDTF">2011-11-18T13:48:41Z</dcterms:created>
  <dcterms:modified xsi:type="dcterms:W3CDTF">2023-08-22T15:45:51Z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0x010100506FAD49E0BA0C44A9E8DFD56CADBD6F</vt:lpwstr>
  </property>
</Properties>
</file>